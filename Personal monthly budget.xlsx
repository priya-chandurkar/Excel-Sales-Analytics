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Learning\Excel Learning\"/>
    </mc:Choice>
  </mc:AlternateContent>
  <xr:revisionPtr revIDLastSave="0" documentId="13_ncr:11_{1318607E-0FFE-499D-AB50-89BA5FF866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rt" sheetId="2" r:id="rId1"/>
    <sheet name="Personal Monthly Budg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3" l="1"/>
  <c r="C32" i="3" s="1"/>
  <c r="D30" i="3"/>
  <c r="E30" i="3"/>
  <c r="D32" i="3"/>
  <c r="E32" i="3"/>
  <c r="B30" i="3"/>
  <c r="B32" i="3" s="1"/>
  <c r="N18" i="3"/>
  <c r="N19" i="3"/>
  <c r="N20" i="3"/>
  <c r="N21" i="3"/>
  <c r="N22" i="3"/>
  <c r="N24" i="3"/>
  <c r="N25" i="3"/>
  <c r="N27" i="3"/>
  <c r="N30" i="3" s="1"/>
  <c r="N32" i="3" s="1"/>
  <c r="N28" i="3"/>
  <c r="N29" i="3"/>
  <c r="C12" i="3"/>
  <c r="D12" i="3"/>
  <c r="E12" i="3"/>
  <c r="N12" i="3"/>
  <c r="B12" i="3"/>
  <c r="N8" i="3"/>
  <c r="N9" i="3"/>
  <c r="N10" i="3"/>
  <c r="N11" i="3"/>
</calcChain>
</file>

<file path=xl/sharedStrings.xml><?xml version="1.0" encoding="utf-8"?>
<sst xmlns="http://schemas.openxmlformats.org/spreadsheetml/2006/main" count="59" uniqueCount="45">
  <si>
    <t>Phone</t>
  </si>
  <si>
    <t>Electricity</t>
  </si>
  <si>
    <t>Gas</t>
  </si>
  <si>
    <t>Groceries</t>
  </si>
  <si>
    <t>Food</t>
  </si>
  <si>
    <t>Note: </t>
  </si>
  <si>
    <t>Additional instructions have been provided in column A in PERSONAL MONTHLY BUDGET worksheet. This text has been intentionally hidden. To remove text, select column A, then select DELETE. To unhide text, select column A, then change font color.</t>
  </si>
  <si>
    <t>To learn more about tables in the worksheet, press SHIFT and then F10 within a table, select the TABLE option, and then select ALTERNATIVE TEXT.</t>
  </si>
  <si>
    <t>Housing</t>
  </si>
  <si>
    <t>Transportation</t>
  </si>
  <si>
    <t>• Enter expenses incurred on various categories in respective tables.</t>
  </si>
  <si>
    <t>Use this personal monthly budget worksheet to track your projected and actual monthly income and projected and actual cost.</t>
  </si>
  <si>
    <t>• Projected balance, actual balance, and difference are auto-calculated.</t>
  </si>
  <si>
    <t>About this template</t>
  </si>
  <si>
    <t>Monthly Savings Target</t>
  </si>
  <si>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</si>
  <si>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</si>
  <si>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</si>
  <si>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</si>
  <si>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</si>
  <si>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</si>
  <si>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</si>
  <si>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</si>
  <si>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</si>
  <si>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</si>
  <si>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</si>
  <si>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</si>
  <si>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</si>
  <si>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YearToDate</t>
  </si>
  <si>
    <t>Salary</t>
  </si>
  <si>
    <t>Rental Income</t>
  </si>
  <si>
    <t>Dividend, Stock Gain</t>
  </si>
  <si>
    <t>Freelancing</t>
  </si>
  <si>
    <t>Total Income</t>
  </si>
  <si>
    <t>Income</t>
  </si>
  <si>
    <t>Mortage or Rent</t>
  </si>
  <si>
    <t>Other Maintenance</t>
  </si>
  <si>
    <t>Dining Out</t>
  </si>
  <si>
    <t>Fuel Expenses</t>
  </si>
  <si>
    <t>Bus/Train/Taxi/Fligh</t>
  </si>
  <si>
    <t>Vehicle maintenance</t>
  </si>
  <si>
    <t>Expenses</t>
  </si>
  <si>
    <t>Total Expenses</t>
  </si>
  <si>
    <t>Savings/Deficits</t>
  </si>
  <si>
    <t>Personal Income Expense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</si>
</sst>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&lt;=9999999]###\-####;\(###\)\ ###\-####"/>
  </numFmts>
  <fonts count="15" x14ac:knownFonts="1">
    <font>
      <sz val="10"/>
      <color theme="1" tint="0.2499465926084170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0"/>
      <color theme="1" tint="0.24994659260841701"/>
      <name val="Calibri"/>
      <family val="2"/>
      <scheme val="minor"/>
    </font>
    <font>
      <b/>
      <sz val="40"/>
      <color theme="4"/>
      <name val="Calibri"/>
      <family val="2"/>
      <scheme val="major"/>
    </font>
    <font>
      <sz val="8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i/>
      <sz val="10"/>
      <color theme="1" tint="0.249946592608417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1" applyNumberFormat="0" applyFill="0" applyAlignment="0" applyProtection="0"/>
    <xf numFmtId="0" fontId="1" fillId="0" borderId="2" applyNumberFormat="0" applyFill="0" applyBorder="0" applyAlignment="0" applyProtection="0"/>
    <xf numFmtId="0" fontId="2" fillId="0" borderId="3" applyNumberFormat="0" applyFill="0" applyBorder="0" applyAlignment="0" applyProtection="0"/>
    <xf numFmtId="165" fontId="4" fillId="0" borderId="0" applyFont="0" applyFill="0" applyBorder="0" applyAlignment="0" applyProtection="0"/>
    <xf numFmtId="14" fontId="4" fillId="0" borderId="0" applyFont="0" applyFill="0" applyBorder="0" applyAlignment="0" applyProtection="0"/>
  </cellStyleXfs>
  <cellXfs count="22">
    <xf numFmtId="0" fontId="0" fillId="0" borderId="0" xfId="0"/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vertical="center"/>
    </xf>
    <xf numFmtId="0" fontId="10" fillId="0" borderId="0" xfId="2" applyFont="1" applyFill="1" applyBorder="1" applyAlignment="1">
      <alignment horizontal="left" vertical="center" indent="11"/>
    </xf>
    <xf numFmtId="0" fontId="7" fillId="3" borderId="0" xfId="0" applyFont="1" applyFill="1" applyAlignment="1">
      <alignment horizontal="center" vertical="center"/>
    </xf>
    <xf numFmtId="0" fontId="12" fillId="4" borderId="0" xfId="0" applyFont="1" applyFill="1"/>
    <xf numFmtId="0" fontId="0" fillId="5" borderId="5" xfId="0" applyFill="1" applyBorder="1"/>
    <xf numFmtId="0" fontId="0" fillId="5" borderId="0" xfId="0" applyFill="1" applyBorder="1"/>
    <xf numFmtId="0" fontId="0" fillId="0" borderId="0" xfId="0" applyBorder="1"/>
    <xf numFmtId="0" fontId="13" fillId="4" borderId="6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0" xfId="0" applyFont="1" applyBorder="1"/>
    <xf numFmtId="0" fontId="14" fillId="2" borderId="0" xfId="0" applyFont="1" applyFill="1" applyBorder="1"/>
    <xf numFmtId="0" fontId="9" fillId="2" borderId="0" xfId="0" applyFont="1" applyFill="1" applyBorder="1"/>
    <xf numFmtId="0" fontId="12" fillId="6" borderId="5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3" fillId="4" borderId="7" xfId="0" applyFont="1" applyFill="1" applyBorder="1"/>
    <xf numFmtId="0" fontId="13" fillId="4" borderId="8" xfId="0" applyFont="1" applyFill="1" applyBorder="1"/>
  </cellXfs>
  <cellStyles count="6">
    <cellStyle name="Date" xfId="5" xr:uid="{FE33F3B2-B201-45AD-A81E-81BCB12ED9D2}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hone" xfId="4" xr:uid="{70E46558-98AC-446F-861A-54F270CBD905}"/>
  </cellStyles>
  <dxfs count="49">
    <dxf>
      <font>
        <b/>
      </font>
    </dxf>
    <dxf>
      <font>
        <b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theme="4" tint="0.3999755851924192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3" defaultTableStyle="TableStyleMedium2" defaultPivotStyle="PivotStyleLight16">
    <tableStyle name="Address Book" pivot="0" count="3" xr9:uid="{00000000-0011-0000-FFFF-FFFF00000000}">
      <tableStyleElement type="wholeTable" dxfId="48"/>
      <tableStyleElement type="headerRow" dxfId="47"/>
      <tableStyleElement type="totalRow" dxfId="46"/>
    </tableStyle>
    <tableStyle name="Invisible" pivot="0" table="0" count="0" xr9:uid="{BA9DF146-7D42-4758-8968-9424B192D48F}"/>
    <tableStyle name="Personal monthly budget" pivot="0" count="7" xr9:uid="{DF2684C2-C435-47FA-9646-E632C3AE8948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254004</xdr:rowOff>
    </xdr:from>
    <xdr:to>
      <xdr:col>1</xdr:col>
      <xdr:colOff>685800</xdr:colOff>
      <xdr:row>1</xdr:row>
      <xdr:rowOff>939804</xdr:rowOff>
    </xdr:to>
    <xdr:pic>
      <xdr:nvPicPr>
        <xdr:cNvPr id="3" name="Graphic 2" descr="Money">
          <a:extLst>
            <a:ext uri="{FF2B5EF4-FFF2-40B4-BE49-F238E27FC236}">
              <a16:creationId xmlns:a16="http://schemas.microsoft.com/office/drawing/2014/main" id="{D4FC616A-5101-4F29-9ACA-5397EC75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188" y="508004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663D2D-F5C1-402A-A97C-8827C4CA451A}" name="Income" displayName="Income" ref="A7:N12" totalsRowCount="1" headerRowDxfId="35" dataDxfId="15" totalsRowDxfId="36" totalsRowBorderDxfId="30">
  <autoFilter ref="A7:N11" xr:uid="{67663D2D-F5C1-402A-A97C-8827C4CA451A}"/>
  <tableColumns count="14">
    <tableColumn id="1" xr3:uid="{0060AD4C-BF0A-40C7-9FDA-7EA9D98D2784}" name="Item" totalsRowLabel="Total Income" dataDxfId="29"/>
    <tableColumn id="2" xr3:uid="{8C90E6B0-93B6-4B97-AB47-8A13FECE828D}" name="Jan" totalsRowFunction="custom" dataDxfId="28">
      <totalsRowFormula>SUM(Income[Jan])</totalsRowFormula>
    </tableColumn>
    <tableColumn id="3" xr3:uid="{389C2EE3-DCC8-42BB-8D0E-C36D0364676C}" name="Feb" totalsRowFunction="custom" dataDxfId="27">
      <totalsRowFormula>SUM(Income[Feb])</totalsRowFormula>
    </tableColumn>
    <tableColumn id="4" xr3:uid="{20E96618-7C32-44FA-B03D-143F881DD67C}" name="Mar" totalsRowFunction="custom" dataDxfId="26">
      <totalsRowFormula>SUM(Income[Mar])</totalsRowFormula>
    </tableColumn>
    <tableColumn id="5" xr3:uid="{34C23D8D-2773-43B7-8AFC-90AA1738F65D}" name="Apr" totalsRowFunction="custom" dataDxfId="25">
      <totalsRowFormula>SUM(Income[Apr])</totalsRowFormula>
    </tableColumn>
    <tableColumn id="6" xr3:uid="{3C3537C6-BDD4-49C0-AE31-DF16E852E427}" name="May" dataDxfId="24"/>
    <tableColumn id="7" xr3:uid="{E7750EBC-CCDB-43F0-AFA6-268BAFBFD39D}" name="Jun" dataDxfId="23"/>
    <tableColumn id="8" xr3:uid="{7EB279FC-0E30-4288-859A-31D997156F66}" name="Jul" dataDxfId="22"/>
    <tableColumn id="9" xr3:uid="{30A42DCC-C37A-4BF3-A503-CAD4A14C4EAA}" name="Aug" dataDxfId="21"/>
    <tableColumn id="10" xr3:uid="{0F3B039F-BC37-457D-BAEB-28A817F69AD4}" name="Sep" dataDxfId="20"/>
    <tableColumn id="11" xr3:uid="{0C57F908-7CDC-4F31-9E9A-F3CC2ED1F073}" name="Oct" dataDxfId="19"/>
    <tableColumn id="12" xr3:uid="{9DA5BC8F-61E4-4AE5-814C-0131BC548777}" name="Nov" dataDxfId="18"/>
    <tableColumn id="13" xr3:uid="{DF9FCBF1-E0E3-40CE-8033-C81DD62E7FED}" name="Dec" dataDxfId="17"/>
    <tableColumn id="14" xr3:uid="{8CFCBF34-8DDD-41C0-9FE1-BBBD956A3179}" name="YearToDate" totalsRowFunction="custom" dataDxfId="16">
      <calculatedColumnFormula>SUM(Income[[#This Row],[Jan]:[Dec]])</calculatedColumnFormula>
      <totalsRowFormula>SUM(Income[YearToDate])</totalsRow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82F7D11-772E-4768-A7B9-771CEB9C7901}" name="Expenses" displayName="Expenses" ref="A16:N30" totalsRowCount="1" headerRowDxfId="33" dataDxfId="0" totalsRowDxfId="32" headerRowBorderDxfId="34" tableBorderDxfId="38" totalsRowBorderDxfId="31">
  <autoFilter ref="A16:N29" xr:uid="{A82F7D11-772E-4768-A7B9-771CEB9C7901}"/>
  <tableColumns count="14">
    <tableColumn id="1" xr3:uid="{F3443575-E9F4-41E7-A043-127821CACE86}" name="Item" totalsRowLabel="Total Expenses" dataDxfId="14"/>
    <tableColumn id="2" xr3:uid="{148C0359-05A8-4739-8B80-E89A19032639}" name="Jan" totalsRowFunction="custom" dataDxfId="13">
      <totalsRowFormula>SUM(Expenses[Jan])</totalsRowFormula>
    </tableColumn>
    <tableColumn id="3" xr3:uid="{6A3DA663-B09D-4D3E-9E6D-F51451C59F14}" name="Feb" totalsRowFunction="custom" dataDxfId="12">
      <totalsRowFormula>SUM(Expenses[Feb])</totalsRowFormula>
    </tableColumn>
    <tableColumn id="4" xr3:uid="{6B90B300-47EA-47F4-A4C8-3D9EFE8132E8}" name="Mar" totalsRowFunction="custom" dataDxfId="11">
      <totalsRowFormula>SUM(Expenses[Mar])</totalsRowFormula>
    </tableColumn>
    <tableColumn id="5" xr3:uid="{CD70AB0D-D991-4208-B6A4-0B10CB0B6DC6}" name="Apr" totalsRowFunction="custom" dataDxfId="10">
      <totalsRowFormula>SUM(Expenses[Apr])</totalsRowFormula>
    </tableColumn>
    <tableColumn id="6" xr3:uid="{42F221B7-1140-4C4E-92EC-F0B5332D5899}" name="May" dataDxfId="9"/>
    <tableColumn id="7" xr3:uid="{BC5E5465-E36A-4A76-9E65-182AFDC52B98}" name="Jun" dataDxfId="8"/>
    <tableColumn id="8" xr3:uid="{CBBA7EAE-F2BE-429D-AB2D-834793A23D4F}" name="Jul" dataDxfId="7"/>
    <tableColumn id="9" xr3:uid="{12CC235C-D16B-4EDC-932B-018BC0BE0E6B}" name="Aug" dataDxfId="6"/>
    <tableColumn id="10" xr3:uid="{604486C0-9B64-47CC-A0B9-C302D9855273}" name="Sep" dataDxfId="5"/>
    <tableColumn id="11" xr3:uid="{7D619AB0-D976-489A-8887-3C98EA7D819C}" name="Oct" dataDxfId="4"/>
    <tableColumn id="12" xr3:uid="{2B125576-ABAB-4D86-BDAE-EE2C1AB66667}" name="Nov" dataDxfId="3"/>
    <tableColumn id="13" xr3:uid="{B9DD8BE7-3D49-4C49-A6A8-5461D228F252}" name="Dec" dataDxfId="2"/>
    <tableColumn id="14" xr3:uid="{9F3CBB26-F875-40DA-A229-5902CE7D09F1}" name="YearToDate" totalsRowFunction="custom" dataDxfId="1">
      <calculatedColumnFormula>SUM(Expenses[[#This Row],[Jan]:[Dec]])</calculatedColumnFormula>
      <totalsRowFormula>SUM(Expenses[YearToDate])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9"/>
  <sheetViews>
    <sheetView showGridLines="0" zoomScaleNormal="100" workbookViewId="0"/>
  </sheetViews>
  <sheetFormatPr defaultColWidth="8.88671875" defaultRowHeight="13.8" x14ac:dyDescent="0.3"/>
  <cols>
    <col min="1" max="1" width="1.44140625" customWidth="1"/>
    <col min="2" max="2" width="100.6640625" customWidth="1"/>
    <col min="3" max="3" width="2.6640625" customWidth="1"/>
  </cols>
  <sheetData>
    <row r="1" spans="2:2" ht="19.95" customHeight="1" x14ac:dyDescent="0.3"/>
    <row r="2" spans="2:2" s="4" customFormat="1" ht="94.95" customHeight="1" x14ac:dyDescent="0.3">
      <c r="B2" s="5" t="s">
        <v>13</v>
      </c>
    </row>
    <row r="3" spans="2:2" ht="48.6" customHeight="1" x14ac:dyDescent="0.3">
      <c r="B3" s="2" t="s">
        <v>11</v>
      </c>
    </row>
    <row r="4" spans="2:2" ht="30" customHeight="1" x14ac:dyDescent="0.3">
      <c r="B4" s="1" t="s">
        <v>10</v>
      </c>
    </row>
    <row r="5" spans="2:2" ht="30" customHeight="1" x14ac:dyDescent="0.3">
      <c r="B5" s="1" t="s">
        <v>12</v>
      </c>
    </row>
    <row r="6" spans="2:2" ht="34.950000000000003" customHeight="1" x14ac:dyDescent="0.35">
      <c r="B6" s="3" t="s">
        <v>5</v>
      </c>
    </row>
    <row r="7" spans="2:2" ht="46.8" x14ac:dyDescent="0.3">
      <c r="B7" s="1" t="s">
        <v>6</v>
      </c>
    </row>
    <row r="8" spans="2:2" ht="10.050000000000001" customHeight="1" x14ac:dyDescent="0.3">
      <c r="B8" s="1"/>
    </row>
    <row r="9" spans="2:2" ht="31.2" x14ac:dyDescent="0.3">
      <c r="B9" s="1" t="s">
        <v>7</v>
      </c>
    </row>
  </sheetData>
  <pageMargins left="0.7" right="0.7" top="0.75" bottom="0.75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9498-30A3-452B-84A1-DF261CBFF542}">
  <dimension ref="A1:O32"/>
  <sheetViews>
    <sheetView tabSelected="1" zoomScaleNormal="100" workbookViewId="0">
      <selection activeCell="G28" sqref="G28"/>
    </sheetView>
  </sheetViews>
  <sheetFormatPr defaultRowHeight="13.8" x14ac:dyDescent="0.3"/>
  <cols>
    <col min="1" max="1" width="19.44140625" bestFit="1" customWidth="1"/>
    <col min="14" max="14" width="12.109375" customWidth="1"/>
  </cols>
  <sheetData>
    <row r="1" spans="1:15" ht="24" customHeight="1" x14ac:dyDescent="0.3">
      <c r="A1" s="6" t="s">
        <v>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5" ht="14.4" x14ac:dyDescent="0.3">
      <c r="A3" s="7" t="s">
        <v>14</v>
      </c>
      <c r="B3" s="7"/>
      <c r="C3" s="7"/>
      <c r="D3" s="7">
        <v>40000</v>
      </c>
    </row>
    <row r="6" spans="1:15" ht="14.4" x14ac:dyDescent="0.3">
      <c r="A6" s="18" t="s">
        <v>34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5" x14ac:dyDescent="0.3">
      <c r="A7" s="9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</row>
    <row r="8" spans="1:15" x14ac:dyDescent="0.3">
      <c r="A8" s="15" t="s">
        <v>29</v>
      </c>
      <c r="B8" s="15">
        <v>60000</v>
      </c>
      <c r="C8" s="15">
        <v>60000</v>
      </c>
      <c r="D8" s="15">
        <v>60000</v>
      </c>
      <c r="E8" s="15">
        <v>75000</v>
      </c>
      <c r="F8" s="15"/>
      <c r="G8" s="15"/>
      <c r="H8" s="15"/>
      <c r="I8" s="15"/>
      <c r="J8" s="15"/>
      <c r="K8" s="15"/>
      <c r="L8" s="15"/>
      <c r="M8" s="15"/>
      <c r="N8" s="15">
        <f>SUM(Income[[#This Row],[Jan]:[Dec]])</f>
        <v>255000</v>
      </c>
      <c r="O8" s="10"/>
    </row>
    <row r="9" spans="1:15" x14ac:dyDescent="0.3">
      <c r="A9" s="15" t="s">
        <v>30</v>
      </c>
      <c r="B9" s="15">
        <v>14000</v>
      </c>
      <c r="C9" s="15">
        <v>14000</v>
      </c>
      <c r="D9" s="15">
        <v>0</v>
      </c>
      <c r="E9" s="15">
        <v>15000</v>
      </c>
      <c r="F9" s="15"/>
      <c r="G9" s="15"/>
      <c r="H9" s="15"/>
      <c r="I9" s="15"/>
      <c r="J9" s="15"/>
      <c r="K9" s="15"/>
      <c r="L9" s="15"/>
      <c r="M9" s="15"/>
      <c r="N9" s="15">
        <f>SUM(Income[[#This Row],[Jan]:[Dec]])</f>
        <v>43000</v>
      </c>
      <c r="O9" s="10"/>
    </row>
    <row r="10" spans="1:15" x14ac:dyDescent="0.3">
      <c r="A10" s="15" t="s">
        <v>31</v>
      </c>
      <c r="B10" s="15">
        <v>2000</v>
      </c>
      <c r="C10" s="15">
        <v>600</v>
      </c>
      <c r="D10" s="15">
        <v>1400</v>
      </c>
      <c r="E10" s="15">
        <v>0</v>
      </c>
      <c r="F10" s="15"/>
      <c r="G10" s="15"/>
      <c r="H10" s="15"/>
      <c r="I10" s="15"/>
      <c r="J10" s="15"/>
      <c r="K10" s="15"/>
      <c r="L10" s="15"/>
      <c r="M10" s="15"/>
      <c r="N10" s="15">
        <f>SUM(Income[[#This Row],[Jan]:[Dec]])</f>
        <v>4000</v>
      </c>
      <c r="O10" s="10"/>
    </row>
    <row r="11" spans="1:15" x14ac:dyDescent="0.3">
      <c r="A11" s="15" t="s">
        <v>32</v>
      </c>
      <c r="B11" s="15">
        <v>0</v>
      </c>
      <c r="C11" s="15">
        <v>0</v>
      </c>
      <c r="D11" s="15">
        <v>0</v>
      </c>
      <c r="E11" s="15">
        <v>0</v>
      </c>
      <c r="F11" s="15"/>
      <c r="G11" s="15"/>
      <c r="H11" s="15"/>
      <c r="I11" s="15"/>
      <c r="J11" s="15"/>
      <c r="K11" s="15"/>
      <c r="L11" s="15"/>
      <c r="M11" s="15"/>
      <c r="N11" s="15">
        <f>SUM(Income[[#This Row],[Jan]:[Dec]])</f>
        <v>0</v>
      </c>
      <c r="O11" s="10"/>
    </row>
    <row r="12" spans="1:15" x14ac:dyDescent="0.3">
      <c r="A12" s="12" t="s">
        <v>33</v>
      </c>
      <c r="B12" s="13">
        <f>SUM(Income[Jan])</f>
        <v>76000</v>
      </c>
      <c r="C12" s="13">
        <f>SUM(Income[Feb])</f>
        <v>74600</v>
      </c>
      <c r="D12" s="13">
        <f>SUM(Income[Mar])</f>
        <v>61400</v>
      </c>
      <c r="E12" s="13">
        <f>SUM(Income[Apr])</f>
        <v>90000</v>
      </c>
      <c r="F12" s="13"/>
      <c r="G12" s="13"/>
      <c r="H12" s="13"/>
      <c r="I12" s="13"/>
      <c r="J12" s="13"/>
      <c r="K12" s="13"/>
      <c r="L12" s="13"/>
      <c r="M12" s="13"/>
      <c r="N12" s="14">
        <f>SUM(Income[YearToDate])</f>
        <v>302000</v>
      </c>
      <c r="O12" s="10"/>
    </row>
    <row r="15" spans="1:15" ht="14.4" x14ac:dyDescent="0.3">
      <c r="A15" s="19" t="s">
        <v>41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5" x14ac:dyDescent="0.3">
      <c r="A16" s="8" t="s">
        <v>15</v>
      </c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  <c r="G16" s="8" t="s">
        <v>21</v>
      </c>
      <c r="H16" s="8" t="s">
        <v>22</v>
      </c>
      <c r="I16" s="8" t="s">
        <v>23</v>
      </c>
      <c r="J16" s="8" t="s">
        <v>24</v>
      </c>
      <c r="K16" s="8" t="s">
        <v>25</v>
      </c>
      <c r="L16" s="8" t="s">
        <v>26</v>
      </c>
      <c r="M16" s="8" t="s">
        <v>27</v>
      </c>
      <c r="N16" s="8" t="s">
        <v>28</v>
      </c>
    </row>
    <row r="17" spans="1:14" x14ac:dyDescent="0.3">
      <c r="A17" s="16" t="s">
        <v>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x14ac:dyDescent="0.3">
      <c r="A18" s="15" t="s">
        <v>35</v>
      </c>
      <c r="B18" s="15">
        <v>23000</v>
      </c>
      <c r="C18" s="15">
        <v>23000</v>
      </c>
      <c r="D18" s="15">
        <v>23000</v>
      </c>
      <c r="E18" s="15">
        <v>22500</v>
      </c>
      <c r="F18" s="15"/>
      <c r="G18" s="15"/>
      <c r="H18" s="15"/>
      <c r="I18" s="15"/>
      <c r="J18" s="15"/>
      <c r="K18" s="15"/>
      <c r="L18" s="15"/>
      <c r="M18" s="15"/>
      <c r="N18" s="15">
        <f>SUM(Expenses[[#This Row],[Jan]:[Dec]])</f>
        <v>91500</v>
      </c>
    </row>
    <row r="19" spans="1:14" x14ac:dyDescent="0.3">
      <c r="A19" s="15" t="s">
        <v>0</v>
      </c>
      <c r="B19" s="15">
        <v>400</v>
      </c>
      <c r="C19" s="15">
        <v>400</v>
      </c>
      <c r="D19" s="15">
        <v>400</v>
      </c>
      <c r="E19" s="15">
        <v>400</v>
      </c>
      <c r="F19" s="15"/>
      <c r="G19" s="15"/>
      <c r="H19" s="15"/>
      <c r="I19" s="15"/>
      <c r="J19" s="15"/>
      <c r="K19" s="15"/>
      <c r="L19" s="15"/>
      <c r="M19" s="15"/>
      <c r="N19" s="15">
        <f>SUM(Expenses[[#This Row],[Jan]:[Dec]])</f>
        <v>1600</v>
      </c>
    </row>
    <row r="20" spans="1:14" x14ac:dyDescent="0.3">
      <c r="A20" s="15" t="s">
        <v>1</v>
      </c>
      <c r="B20" s="15">
        <v>1700</v>
      </c>
      <c r="C20" s="15">
        <v>1600</v>
      </c>
      <c r="D20" s="15">
        <v>2300</v>
      </c>
      <c r="E20" s="15">
        <v>2800</v>
      </c>
      <c r="F20" s="15"/>
      <c r="G20" s="15"/>
      <c r="H20" s="15"/>
      <c r="I20" s="15"/>
      <c r="J20" s="15"/>
      <c r="K20" s="15"/>
      <c r="L20" s="15"/>
      <c r="M20" s="15"/>
      <c r="N20" s="15">
        <f>SUM(Expenses[[#This Row],[Jan]:[Dec]])</f>
        <v>8400</v>
      </c>
    </row>
    <row r="21" spans="1:14" x14ac:dyDescent="0.3">
      <c r="A21" s="15" t="s">
        <v>2</v>
      </c>
      <c r="B21" s="15">
        <v>800</v>
      </c>
      <c r="C21" s="15">
        <v>950</v>
      </c>
      <c r="D21" s="15">
        <v>940</v>
      </c>
      <c r="E21" s="15">
        <v>1020</v>
      </c>
      <c r="F21" s="15"/>
      <c r="G21" s="15"/>
      <c r="H21" s="15"/>
      <c r="I21" s="15"/>
      <c r="J21" s="15"/>
      <c r="K21" s="15"/>
      <c r="L21" s="15"/>
      <c r="M21" s="15"/>
      <c r="N21" s="15">
        <f>SUM(Expenses[[#This Row],[Jan]:[Dec]])</f>
        <v>3710</v>
      </c>
    </row>
    <row r="22" spans="1:14" x14ac:dyDescent="0.3">
      <c r="A22" s="15" t="s">
        <v>36</v>
      </c>
      <c r="B22" s="15">
        <v>600</v>
      </c>
      <c r="C22" s="15">
        <v>230</v>
      </c>
      <c r="D22" s="15">
        <v>2350</v>
      </c>
      <c r="E22" s="15">
        <v>1540</v>
      </c>
      <c r="F22" s="15"/>
      <c r="G22" s="15"/>
      <c r="H22" s="15"/>
      <c r="I22" s="15"/>
      <c r="J22" s="15"/>
      <c r="K22" s="15"/>
      <c r="L22" s="15"/>
      <c r="M22" s="15"/>
      <c r="N22" s="15">
        <f>SUM(Expenses[[#This Row],[Jan]:[Dec]])</f>
        <v>4720</v>
      </c>
    </row>
    <row r="23" spans="1:14" x14ac:dyDescent="0.3">
      <c r="A23" s="16" t="s">
        <v>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x14ac:dyDescent="0.3">
      <c r="A24" s="15" t="s">
        <v>3</v>
      </c>
      <c r="B24" s="15">
        <v>200</v>
      </c>
      <c r="C24" s="15">
        <v>180</v>
      </c>
      <c r="D24" s="15">
        <v>160</v>
      </c>
      <c r="E24" s="15">
        <v>210</v>
      </c>
      <c r="F24" s="15"/>
      <c r="G24" s="15"/>
      <c r="H24" s="15"/>
      <c r="I24" s="15"/>
      <c r="J24" s="15"/>
      <c r="K24" s="15"/>
      <c r="L24" s="15"/>
      <c r="M24" s="15"/>
      <c r="N24" s="15">
        <f>SUM(Expenses[[#This Row],[Jan]:[Dec]])</f>
        <v>750</v>
      </c>
    </row>
    <row r="25" spans="1:14" x14ac:dyDescent="0.3">
      <c r="A25" s="15" t="s">
        <v>37</v>
      </c>
      <c r="B25" s="15">
        <v>50</v>
      </c>
      <c r="C25" s="15">
        <v>45</v>
      </c>
      <c r="D25" s="15">
        <v>37</v>
      </c>
      <c r="E25" s="15">
        <v>0</v>
      </c>
      <c r="F25" s="15"/>
      <c r="G25" s="15"/>
      <c r="H25" s="15"/>
      <c r="I25" s="15"/>
      <c r="J25" s="15"/>
      <c r="K25" s="15"/>
      <c r="L25" s="15"/>
      <c r="M25" s="15"/>
      <c r="N25" s="15">
        <f>SUM(Expenses[[#This Row],[Jan]:[Dec]])</f>
        <v>132</v>
      </c>
    </row>
    <row r="26" spans="1:14" x14ac:dyDescent="0.3">
      <c r="A26" s="16" t="s">
        <v>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x14ac:dyDescent="0.3">
      <c r="A27" s="15" t="s">
        <v>38</v>
      </c>
      <c r="B27" s="15">
        <v>125</v>
      </c>
      <c r="C27" s="15">
        <v>100</v>
      </c>
      <c r="D27" s="15">
        <v>67</v>
      </c>
      <c r="E27" s="15">
        <v>140</v>
      </c>
      <c r="F27" s="15"/>
      <c r="G27" s="15"/>
      <c r="H27" s="15"/>
      <c r="I27" s="15"/>
      <c r="J27" s="15"/>
      <c r="K27" s="15"/>
      <c r="L27" s="15"/>
      <c r="M27" s="15"/>
      <c r="N27" s="15">
        <f>SUM(Expenses[[#This Row],[Jan]:[Dec]])</f>
        <v>432</v>
      </c>
    </row>
    <row r="28" spans="1:14" x14ac:dyDescent="0.3">
      <c r="A28" s="15" t="s">
        <v>39</v>
      </c>
      <c r="B28" s="15">
        <v>10</v>
      </c>
      <c r="C28" s="15">
        <v>5</v>
      </c>
      <c r="D28" s="15">
        <v>9</v>
      </c>
      <c r="E28" s="15">
        <v>0</v>
      </c>
      <c r="F28" s="15"/>
      <c r="G28" s="15"/>
      <c r="H28" s="15"/>
      <c r="I28" s="15"/>
      <c r="J28" s="15"/>
      <c r="K28" s="15"/>
      <c r="L28" s="15"/>
      <c r="M28" s="15"/>
      <c r="N28" s="15">
        <f>SUM(Expenses[[#This Row],[Jan]:[Dec]])</f>
        <v>24</v>
      </c>
    </row>
    <row r="29" spans="1:14" x14ac:dyDescent="0.3">
      <c r="A29" s="15" t="s">
        <v>40</v>
      </c>
      <c r="B29" s="15">
        <v>20</v>
      </c>
      <c r="C29" s="15">
        <v>45</v>
      </c>
      <c r="D29" s="15">
        <v>67</v>
      </c>
      <c r="E29" s="15">
        <v>120</v>
      </c>
      <c r="F29" s="15"/>
      <c r="G29" s="15"/>
      <c r="H29" s="15"/>
      <c r="I29" s="15"/>
      <c r="J29" s="15"/>
      <c r="K29" s="15"/>
      <c r="L29" s="15"/>
      <c r="M29" s="15"/>
      <c r="N29" s="15">
        <f>SUM(Expenses[[#This Row],[Jan]:[Dec]])</f>
        <v>252</v>
      </c>
    </row>
    <row r="30" spans="1:14" x14ac:dyDescent="0.3">
      <c r="A30" s="12" t="s">
        <v>42</v>
      </c>
      <c r="B30" s="13">
        <f>SUM(Expenses[Jan])</f>
        <v>26905</v>
      </c>
      <c r="C30" s="13">
        <f>SUM(Expenses[Feb])</f>
        <v>26555</v>
      </c>
      <c r="D30" s="13">
        <f>SUM(Expenses[Mar])</f>
        <v>29330</v>
      </c>
      <c r="E30" s="13">
        <f>SUM(Expenses[Apr])</f>
        <v>28730</v>
      </c>
      <c r="F30" s="13"/>
      <c r="G30" s="13"/>
      <c r="H30" s="13"/>
      <c r="I30" s="13"/>
      <c r="J30" s="13"/>
      <c r="K30" s="13"/>
      <c r="L30" s="13"/>
      <c r="M30" s="13"/>
      <c r="N30" s="14">
        <f>SUM(Expenses[YearToDate])</f>
        <v>111520</v>
      </c>
    </row>
    <row r="32" spans="1:14" x14ac:dyDescent="0.3">
      <c r="A32" s="11" t="s">
        <v>43</v>
      </c>
      <c r="B32" s="20">
        <f>Income[[#Totals],[Jan]]-Expenses[[#Totals],[Jan]]</f>
        <v>49095</v>
      </c>
      <c r="C32" s="20">
        <f>Income[[#Totals],[Feb]]-Expenses[[#Totals],[Feb]]</f>
        <v>48045</v>
      </c>
      <c r="D32" s="20">
        <f>Income[[#Totals],[Mar]]-Expenses[[#Totals],[Mar]]</f>
        <v>32070</v>
      </c>
      <c r="E32" s="20">
        <f>Income[[#Totals],[Apr]]-Expenses[[#Totals],[Apr]]</f>
        <v>61270</v>
      </c>
      <c r="F32" s="20"/>
      <c r="G32" s="20"/>
      <c r="H32" s="20"/>
      <c r="I32" s="20"/>
      <c r="J32" s="20"/>
      <c r="K32" s="20"/>
      <c r="L32" s="20"/>
      <c r="M32" s="20"/>
      <c r="N32" s="21">
        <f>Income[[#Totals],[YearToDate]]-Expenses[[#Totals],[YearToDate]]</f>
        <v>190480</v>
      </c>
    </row>
  </sheetData>
  <mergeCells count="3">
    <mergeCell ref="A6:N6"/>
    <mergeCell ref="A15:N15"/>
    <mergeCell ref="A1:N1"/>
  </mergeCells>
  <phoneticPr fontId="11" type="noConversion"/>
  <conditionalFormatting sqref="B32:E32">
    <cfRule type="cellIs" dxfId="37" priority="1" operator="lessThan">
      <formula>$D$3</formula>
    </cfRule>
  </conditionalFormatting>
  <pageMargins left="0.7" right="0.7" top="0.75" bottom="0.75" header="0.3" footer="0.3"/>
  <pageSetup scale="99"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7" ma:contentTypeDescription="Create a new document." ma:contentTypeScope="" ma:versionID="c6f9a84f66a9c8b9a21755b9ffafb945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27df39e3e7036dff54f89ddd5805ce72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0798E9-19EF-47BB-B28E-84199D1A5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C7FD9-EBCF-4CC4-BE1C-34B80F7E835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sharepoint/v3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230e9df3-be65-4c73-a93b-d1236ebd677e"/>
    <ds:schemaRef ds:uri="16c05727-aa75-4e4a-9b5f-8a80a1165891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Chandurkar</dc:creator>
  <cp:lastModifiedBy>Priya Chandurkar</cp:lastModifiedBy>
  <cp:lastPrinted>2026-03-03T16:41:46Z</cp:lastPrinted>
  <dcterms:created xsi:type="dcterms:W3CDTF">2022-11-06T05:34:26Z</dcterms:created>
  <dcterms:modified xsi:type="dcterms:W3CDTF">2026-03-04T02:09:35Z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